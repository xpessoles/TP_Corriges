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P_Corriges\11_MaxPID\"/>
    </mc:Choice>
  </mc:AlternateContent>
  <xr:revisionPtr revIDLastSave="0" documentId="13_ncr:1_{1833EE05-EC19-45C9-A8C5-84A417E3692A}" xr6:coauthVersionLast="47" xr6:coauthVersionMax="47" xr10:uidLastSave="{00000000-0000-0000-0000-000000000000}"/>
  <bookViews>
    <workbookView xWindow="0" yWindow="360" windowWidth="19420" windowHeight="10300" xr2:uid="{823A92E8-CAB8-459A-AA21-5E852254C47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0" i="1"/>
  <c r="D23" i="1"/>
  <c r="D22" i="1"/>
  <c r="D21" i="1"/>
  <c r="D20" i="1"/>
  <c r="H11" i="1"/>
  <c r="H8" i="1"/>
  <c r="F11" i="1"/>
  <c r="G7" i="1"/>
  <c r="F9" i="1"/>
  <c r="F8" i="1"/>
  <c r="F14" i="1"/>
  <c r="F3" i="1"/>
  <c r="C14" i="1"/>
  <c r="C13" i="1"/>
  <c r="C9" i="1"/>
  <c r="C8" i="1"/>
  <c r="C7" i="1"/>
  <c r="C3" i="1"/>
  <c r="C2" i="1"/>
  <c r="G2" i="1" s="1"/>
</calcChain>
</file>

<file path=xl/sharedStrings.xml><?xml version="1.0" encoding="utf-8"?>
<sst xmlns="http://schemas.openxmlformats.org/spreadsheetml/2006/main" count="27" uniqueCount="22">
  <si>
    <t>Masse écrou</t>
  </si>
  <si>
    <t>[kg]</t>
  </si>
  <si>
    <t>Moment d'inertie</t>
  </si>
  <si>
    <t>[kg.mm²]</t>
  </si>
  <si>
    <t>Moment inertie vis/axe</t>
  </si>
  <si>
    <t>Moment inertie vis / tranversal</t>
  </si>
  <si>
    <t>Masse vis</t>
  </si>
  <si>
    <t>Masse bras</t>
  </si>
  <si>
    <t>Masse stator</t>
  </si>
  <si>
    <t>"Rotation"</t>
  </si>
  <si>
    <t>"Translation"</t>
  </si>
  <si>
    <t>Rapport de vitesse / thetap</t>
  </si>
  <si>
    <t>Rapport de vitesse de translation thetap</t>
  </si>
  <si>
    <t>Rapport de vitese de rotation/thetp</t>
  </si>
  <si>
    <r>
      <t>q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Calibri"/>
        <family val="2"/>
      </rPr>
      <t xml:space="preserve">Le moment d’inertie de la vis : </t>
    </r>
  </si>
  <si>
    <t>.</t>
  </si>
  <si>
    <r>
      <t>q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Calibri"/>
        <family val="2"/>
      </rPr>
      <t xml:space="preserve">Le moment d’inertie du rotor : </t>
    </r>
  </si>
  <si>
    <r>
      <t>q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Calibri"/>
        <family val="2"/>
      </rPr>
      <t xml:space="preserve">Le moment d’inertie de l’écrou : </t>
    </r>
  </si>
  <si>
    <t>Quel moment d’inertie est prépondérant ?</t>
  </si>
  <si>
    <t>Vis</t>
  </si>
  <si>
    <t>Rotor</t>
  </si>
  <si>
    <t>Ecrou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</si>
</sst>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Wingdings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2" fillId="0" borderId="0" xfId="0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0</xdr:col>
      <xdr:colOff>539750</xdr:colOff>
      <xdr:row>20</xdr:row>
      <xdr:rowOff>171450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811E11B2-C120-F5B4-3BD2-F9EBD9CE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050"/>
          <a:ext cx="5397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590550</xdr:colOff>
      <xdr:row>22</xdr:row>
      <xdr:rowOff>171450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51219B21-26CD-0F18-6613-53B02B71D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8500"/>
          <a:ext cx="5905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685800</xdr:colOff>
      <xdr:row>24</xdr:row>
      <xdr:rowOff>171450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1DC82C0D-C14D-6542-1203-AF2CDFFBC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7950"/>
          <a:ext cx="6858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4BA1-3A55-498B-93B1-49F9D6C8397D}">
  <dimension ref="A1:H26"/>
  <sheetViews>
    <sheetView tabSelected="1" topLeftCell="A13" workbookViewId="0">
      <selection activeCell="G23" sqref="G23"/>
    </sheetView>
  </sheetViews>
  <sheetFormatPr baseColWidth="10" defaultRowHeight="14.5" x14ac:dyDescent="0.35"/>
  <cols>
    <col min="1" max="1" width="15.54296875" bestFit="1" customWidth="1"/>
    <col min="4" max="4" width="11.81640625" bestFit="1" customWidth="1"/>
    <col min="6" max="7" width="11.81640625" bestFit="1" customWidth="1"/>
  </cols>
  <sheetData>
    <row r="1" spans="1:8" x14ac:dyDescent="0.35">
      <c r="F1" t="s">
        <v>9</v>
      </c>
      <c r="G1" t="s">
        <v>10</v>
      </c>
    </row>
    <row r="2" spans="1:8" x14ac:dyDescent="0.35">
      <c r="A2" t="s">
        <v>0</v>
      </c>
      <c r="B2" t="s">
        <v>1</v>
      </c>
      <c r="C2">
        <f>96.25/1000</f>
        <v>9.6250000000000002E-2</v>
      </c>
      <c r="G2">
        <f>C2*C4^2</f>
        <v>6.1600000000000001E-4</v>
      </c>
    </row>
    <row r="3" spans="1:8" x14ac:dyDescent="0.35">
      <c r="A3" t="s">
        <v>2</v>
      </c>
      <c r="B3" t="s">
        <v>3</v>
      </c>
      <c r="C3">
        <f>25520/1000/1000/1000</f>
        <v>2.552E-5</v>
      </c>
      <c r="F3">
        <f>C3*C5*C5</f>
        <v>4.083200000000001E-6</v>
      </c>
    </row>
    <row r="4" spans="1:8" x14ac:dyDescent="0.35">
      <c r="A4" t="s">
        <v>12</v>
      </c>
      <c r="C4">
        <v>0.08</v>
      </c>
    </row>
    <row r="5" spans="1:8" x14ac:dyDescent="0.35">
      <c r="A5" t="s">
        <v>13</v>
      </c>
      <c r="C5">
        <v>0.4</v>
      </c>
    </row>
    <row r="7" spans="1:8" x14ac:dyDescent="0.35">
      <c r="A7" t="s">
        <v>6</v>
      </c>
      <c r="C7">
        <f>70/1000</f>
        <v>7.0000000000000007E-2</v>
      </c>
      <c r="G7">
        <f>C7*0.2*0.2*0.4*0.4</f>
        <v>4.4800000000000005E-4</v>
      </c>
    </row>
    <row r="8" spans="1:8" x14ac:dyDescent="0.35">
      <c r="A8" t="s">
        <v>4</v>
      </c>
      <c r="C8">
        <f>515438/1000/1000/1000</f>
        <v>5.154379999999999E-4</v>
      </c>
      <c r="F8">
        <f>C8*120*120</f>
        <v>7.4223071999999988</v>
      </c>
      <c r="H8" s="1">
        <f>F8/SUM(F2:G15)</f>
        <v>0.98655390673634036</v>
      </c>
    </row>
    <row r="9" spans="1:8" x14ac:dyDescent="0.35">
      <c r="A9" t="s">
        <v>5</v>
      </c>
      <c r="C9">
        <f>397094/1000/1000/1000</f>
        <v>3.9709400000000002E-4</v>
      </c>
      <c r="F9">
        <f>C9*0.4*0.4</f>
        <v>6.353504000000001E-5</v>
      </c>
      <c r="H9" s="1"/>
    </row>
    <row r="10" spans="1:8" x14ac:dyDescent="0.35">
      <c r="H10" s="1"/>
    </row>
    <row r="11" spans="1:8" x14ac:dyDescent="0.35">
      <c r="A11" t="s">
        <v>7</v>
      </c>
      <c r="B11" t="s">
        <v>1</v>
      </c>
      <c r="C11">
        <v>2.5</v>
      </c>
      <c r="F11">
        <f>C11*0.2*0.2</f>
        <v>0.1</v>
      </c>
      <c r="H11" s="1">
        <f>F11/SUM(F2:G14)</f>
        <v>1.32917417745299E-2</v>
      </c>
    </row>
    <row r="13" spans="1:8" x14ac:dyDescent="0.35">
      <c r="A13" t="s">
        <v>8</v>
      </c>
      <c r="B13" t="s">
        <v>1</v>
      </c>
      <c r="C13">
        <f>0.3</f>
        <v>0.3</v>
      </c>
    </row>
    <row r="14" spans="1:8" x14ac:dyDescent="0.35">
      <c r="A14" t="s">
        <v>2</v>
      </c>
      <c r="C14">
        <f>185252/1000000000</f>
        <v>1.8525200000000001E-4</v>
      </c>
      <c r="F14">
        <f>C14*C15^2</f>
        <v>2.9640320000000006E-5</v>
      </c>
    </row>
    <row r="15" spans="1:8" x14ac:dyDescent="0.35">
      <c r="A15" t="s">
        <v>11</v>
      </c>
      <c r="C15">
        <v>0.4</v>
      </c>
    </row>
    <row r="20" spans="1:7" ht="26" x14ac:dyDescent="0.35">
      <c r="A20" s="2" t="s">
        <v>14</v>
      </c>
      <c r="C20" t="s">
        <v>19</v>
      </c>
      <c r="D20">
        <f>2/1000000</f>
        <v>1.9999999999999999E-6</v>
      </c>
      <c r="E20" s="1">
        <f>D20/$D$23</f>
        <v>0.13302294645826404</v>
      </c>
    </row>
    <row r="21" spans="1:7" x14ac:dyDescent="0.35">
      <c r="A21" s="3" t="s">
        <v>15</v>
      </c>
      <c r="C21" t="s">
        <v>20</v>
      </c>
      <c r="D21">
        <f>69.6/1000/10000</f>
        <v>6.9599999999999994E-6</v>
      </c>
      <c r="E21" s="1">
        <f t="shared" ref="E21:E22" si="0">D21/$D$23</f>
        <v>0.46291985367475891</v>
      </c>
    </row>
    <row r="22" spans="1:7" ht="39" x14ac:dyDescent="0.35">
      <c r="A22" s="2" t="s">
        <v>16</v>
      </c>
      <c r="C22" t="s">
        <v>21</v>
      </c>
      <c r="D22">
        <f>6075/1000000000</f>
        <v>6.0750000000000003E-6</v>
      </c>
      <c r="E22" s="1">
        <f t="shared" si="0"/>
        <v>0.40405719986697708</v>
      </c>
    </row>
    <row r="23" spans="1:7" x14ac:dyDescent="0.35">
      <c r="A23" s="3" t="s">
        <v>15</v>
      </c>
      <c r="D23">
        <f>SUM(D20:D22)</f>
        <v>1.5034999999999999E-5</v>
      </c>
      <c r="G23">
        <v>1.5034999999999999E-5</v>
      </c>
    </row>
    <row r="24" spans="1:7" ht="39" x14ac:dyDescent="0.35">
      <c r="A24" s="2" t="s">
        <v>17</v>
      </c>
    </row>
    <row r="25" spans="1:7" x14ac:dyDescent="0.35">
      <c r="A25" s="3" t="s">
        <v>15</v>
      </c>
    </row>
    <row r="26" spans="1:7" x14ac:dyDescent="0.35">
      <c r="A26" s="4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Pessoles</dc:creator>
  <cp:lastModifiedBy>Xavier Pessoles</cp:lastModifiedBy>
  <dcterms:created xsi:type="dcterms:W3CDTF">2026-03-13T14:00:20Z</dcterms:created>
  <dcterms:modified xsi:type="dcterms:W3CDTF">2026-03-21T12:47:08Z</dcterms:modified>
</cp:coreProperties>
</file>